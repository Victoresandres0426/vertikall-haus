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paracion Pared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<sst xmlns="http://schemas.openxmlformats.org/spreadsheetml/2006/main" count="74" uniqueCount="47">
  <si>
    <t xml:space="preserve">PREPARACIÓN DE PAREDES CON REFUERZO — Closet y Cocina</t>
  </si>
  <si>
    <t xml:space="preserve">Basado en tarifas derivadas del presupuesto de referencia (Living, Habitación Master, Baño Master, Oficina)</t>
  </si>
  <si>
    <t xml:space="preserve">Supuestos / Tarifas base</t>
  </si>
  <si>
    <t xml:space="preserve">Concepto</t>
  </si>
  <si>
    <t xml:space="preserve">Valor</t>
  </si>
  <si>
    <t xml:space="preserve">Unidad</t>
  </si>
  <si>
    <t xml:space="preserve">Tarifa material estándar</t>
  </si>
  <si>
    <t xml:space="preserve">$/sf</t>
  </si>
  <si>
    <t xml:space="preserve">Mano de obra — Retirar placas</t>
  </si>
  <si>
    <t xml:space="preserve">Mano de obra — Instalar refuerzos (blocking)</t>
  </si>
  <si>
    <t xml:space="preserve">Mano de obra — Instalar placas</t>
  </si>
  <si>
    <t xml:space="preserve">Mano de obra — Aplicar acabado</t>
  </si>
  <si>
    <t xml:space="preserve">Nota: tarifas de mano de obra son el promedio ponderado por sf observado en los 4 cuartos de referencia (no escala linealmente cuarto por cuarto en los datos originales -- ver conversación). Fuente: tabla de presupuesto provista por el usuario.</t>
  </si>
  <si>
    <t xml:space="preserve">CLOSET — Preparación de paredes</t>
  </si>
  <si>
    <t xml:space="preserve">Área bruta (sf)</t>
  </si>
  <si>
    <t xml:space="preserve">sf</t>
  </si>
  <si>
    <t xml:space="preserve">Deducción puerta (sf)</t>
  </si>
  <si>
    <t xml:space="preserve">Área neta a trabajar (sf)</t>
  </si>
  <si>
    <t xml:space="preserve">Actividad</t>
  </si>
  <si>
    <t xml:space="preserve">Material ($)</t>
  </si>
  <si>
    <t xml:space="preserve">SF</t>
  </si>
  <si>
    <t xml:space="preserve">Mano de obra ($)</t>
  </si>
  <si>
    <t xml:space="preserve">Total ($)</t>
  </si>
  <si>
    <t xml:space="preserve">Cuadrilla</t>
  </si>
  <si>
    <t xml:space="preserve">Rendimiento</t>
  </si>
  <si>
    <t xml:space="preserve">Costo diario ($)</t>
  </si>
  <si>
    <t xml:space="preserve">Días</t>
  </si>
  <si>
    <t xml:space="preserve">Retirar placas de sheetrock — closet</t>
  </si>
  <si>
    <t xml:space="preserve">2 Peones</t>
  </si>
  <si>
    <t xml:space="preserve">180 sf/día</t>
  </si>
  <si>
    <t xml:space="preserve">Instalar refuerzos interiores (blocking para millwork/anclajes) — closet</t>
  </si>
  <si>
    <t xml:space="preserve">Carpintero + Peón</t>
  </si>
  <si>
    <t xml:space="preserve">150 sf/día</t>
  </si>
  <si>
    <t xml:space="preserve">Instalar placas de sheetrock — closet</t>
  </si>
  <si>
    <t xml:space="preserve">Instalador de drywall</t>
  </si>
  <si>
    <t xml:space="preserve">160 sf/día</t>
  </si>
  <si>
    <t xml:space="preserve">Aplicar acabado (empaste y lijado, listo para microcemento/pintura) — closet</t>
  </si>
  <si>
    <t xml:space="preserve">Finisher</t>
  </si>
  <si>
    <t xml:space="preserve">200 sf/día</t>
  </si>
  <si>
    <t xml:space="preserve">PREPARACIÓN DE PAREDES — CLOSET</t>
  </si>
  <si>
    <t xml:space="preserve">COCINA — Preparación de paredes</t>
  </si>
  <si>
    <t xml:space="preserve">Retirar placas de sheetrock — cocina</t>
  </si>
  <si>
    <t xml:space="preserve">Instalar refuerzos interiores (blocking para millwork/anclajes) — cocina</t>
  </si>
  <si>
    <t xml:space="preserve">Instalar placas de sheetrock — cocina</t>
  </si>
  <si>
    <t xml:space="preserve">Aplicar acabado (empaste y lijado, listo para microcemento/pintura) — cocina</t>
  </si>
  <si>
    <t xml:space="preserve">PREPARACIÓN DE PAREDES — COCINA</t>
  </si>
  <si>
    <t xml:space="preserve">TOTAL COMBINADO — CLOSET + COCINA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</si>
</sst>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"/>
    <numFmt numFmtId="166" formatCode="#,##0"/>
    <numFmt numFmtId="167" formatCode="\$#,##0.00"/>
    <numFmt numFmtId="168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2937"/>
        <bgColor rgb="FF111827"/>
      </patternFill>
    </fill>
    <fill>
      <patternFill patternType="solid">
        <fgColor rgb="FFE5E7EB"/>
        <bgColor rgb="FFD1D5DB"/>
      </patternFill>
    </fill>
    <fill>
      <patternFill patternType="solid">
        <fgColor rgb="FF111827"/>
        <bgColor rgb="FF1F293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7EB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5" min="2" style="0" width="15"/>
    <col collapsed="false" customWidth="true" hidden="false" outlineLevel="0" max="6" min="6" style="0" width="20"/>
    <col collapsed="false" customWidth="true" hidden="false" outlineLevel="0" max="11" min="7" style="0" width="1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</row>
    <row r="6" customFormat="false" ht="15" hidden="false" customHeight="false" outlineLevel="0" collapsed="false">
      <c r="A6" s="4" t="s">
        <v>6</v>
      </c>
      <c r="B6" s="5" t="n">
        <v>1.177</v>
      </c>
      <c r="C6" s="4" t="s">
        <v>7</v>
      </c>
    </row>
    <row r="7" customFormat="false" ht="15" hidden="false" customHeight="false" outlineLevel="0" collapsed="false">
      <c r="A7" s="4" t="s">
        <v>8</v>
      </c>
      <c r="B7" s="5" t="n">
        <v>0.7904</v>
      </c>
      <c r="C7" s="4" t="s">
        <v>7</v>
      </c>
    </row>
    <row r="8" customFormat="false" ht="15" hidden="false" customHeight="false" outlineLevel="0" collapsed="false">
      <c r="A8" s="4" t="s">
        <v>9</v>
      </c>
      <c r="B8" s="5" t="n">
        <v>1.4706</v>
      </c>
      <c r="C8" s="4" t="s">
        <v>7</v>
      </c>
    </row>
    <row r="9" customFormat="false" ht="15" hidden="false" customHeight="false" outlineLevel="0" collapsed="false">
      <c r="A9" s="4" t="s">
        <v>10</v>
      </c>
      <c r="B9" s="5" t="n">
        <v>1.5</v>
      </c>
      <c r="C9" s="4" t="s">
        <v>7</v>
      </c>
    </row>
    <row r="10" customFormat="false" ht="15" hidden="false" customHeight="false" outlineLevel="0" collapsed="false">
      <c r="A10" s="4" t="s">
        <v>11</v>
      </c>
      <c r="B10" s="5" t="n">
        <v>1.5615</v>
      </c>
      <c r="C10" s="4" t="s">
        <v>7</v>
      </c>
    </row>
    <row r="12" customFormat="false" ht="27.75" hidden="false" customHeight="true" outlineLevel="0" collapsed="false">
      <c r="A12" s="6" t="s">
        <v>12</v>
      </c>
      <c r="B12" s="6"/>
      <c r="C12" s="6"/>
      <c r="D12" s="6"/>
      <c r="E12" s="6"/>
      <c r="F12" s="6"/>
      <c r="G12" s="6"/>
      <c r="H12" s="6"/>
      <c r="I12" s="6"/>
    </row>
    <row r="14" customFormat="false" ht="15" hidden="false" customHeight="false" outlineLevel="0" collapsed="false">
      <c r="A14" s="7" t="s">
        <v>13</v>
      </c>
      <c r="B14" s="7"/>
      <c r="C14" s="7"/>
      <c r="D14" s="7"/>
      <c r="E14" s="7"/>
      <c r="F14" s="7"/>
      <c r="G14" s="7"/>
      <c r="H14" s="7"/>
      <c r="I14" s="7"/>
    </row>
    <row r="15" customFormat="false" ht="15" hidden="false" customHeight="false" outlineLevel="0" collapsed="false">
      <c r="A15" s="4" t="s">
        <v>14</v>
      </c>
      <c r="B15" s="8" t="n">
        <v>562</v>
      </c>
      <c r="C15" s="4" t="s">
        <v>15</v>
      </c>
    </row>
    <row r="16" customFormat="false" ht="15" hidden="false" customHeight="false" outlineLevel="0" collapsed="false">
      <c r="A16" s="4" t="s">
        <v>16</v>
      </c>
      <c r="B16" s="8" t="n">
        <v>23</v>
      </c>
      <c r="C16" s="4" t="s">
        <v>15</v>
      </c>
    </row>
    <row r="17" customFormat="false" ht="15" hidden="false" customHeight="false" outlineLevel="0" collapsed="false">
      <c r="A17" s="3" t="s">
        <v>17</v>
      </c>
      <c r="B17" s="9" t="n">
        <f aca="false">$B$15-$B$16</f>
        <v>539</v>
      </c>
    </row>
    <row r="19" customFormat="false" ht="26.85" hidden="false" customHeight="false" outlineLevel="0" collapsed="false">
      <c r="A19" s="10" t="s">
        <v>18</v>
      </c>
      <c r="B19" s="10" t="s">
        <v>19</v>
      </c>
      <c r="C19" s="10" t="s">
        <v>20</v>
      </c>
      <c r="D19" s="10" t="s">
        <v>21</v>
      </c>
      <c r="E19" s="10" t="s">
        <v>22</v>
      </c>
      <c r="F19" s="10" t="s">
        <v>23</v>
      </c>
      <c r="G19" s="10" t="s">
        <v>24</v>
      </c>
      <c r="H19" s="10" t="s">
        <v>25</v>
      </c>
      <c r="I19" s="10" t="s">
        <v>26</v>
      </c>
    </row>
    <row r="20" customFormat="false" ht="15" hidden="false" customHeight="false" outlineLevel="0" collapsed="false">
      <c r="A20" s="11" t="s">
        <v>27</v>
      </c>
      <c r="B20" s="12" t="n">
        <f aca="false">$B$17*$B$6</f>
        <v>634.403</v>
      </c>
      <c r="C20" s="13" t="n">
        <f aca="false">$B$17</f>
        <v>539</v>
      </c>
      <c r="D20" s="12" t="n">
        <f aca="false">$B$17*$B$7</f>
        <v>426.0256</v>
      </c>
      <c r="E20" s="14" t="n">
        <f aca="false">B20+D20</f>
        <v>1060.4286</v>
      </c>
      <c r="F20" s="11" t="s">
        <v>28</v>
      </c>
      <c r="G20" s="11" t="s">
        <v>29</v>
      </c>
      <c r="H20" s="15" t="n">
        <v>480</v>
      </c>
      <c r="I20" s="16" t="n">
        <f aca="false">D20/H20</f>
        <v>0.887553333333333</v>
      </c>
    </row>
    <row r="21" customFormat="false" ht="15" hidden="false" customHeight="false" outlineLevel="0" collapsed="false">
      <c r="A21" s="11" t="s">
        <v>30</v>
      </c>
      <c r="B21" s="12" t="n">
        <f aca="false">$B$17*$B$6</f>
        <v>634.403</v>
      </c>
      <c r="C21" s="13" t="n">
        <f aca="false">$B$17</f>
        <v>539</v>
      </c>
      <c r="D21" s="12" t="n">
        <f aca="false">$B$17*$B$8</f>
        <v>792.6534</v>
      </c>
      <c r="E21" s="14" t="n">
        <f aca="false">B21+D21</f>
        <v>1427.0564</v>
      </c>
      <c r="F21" s="11" t="s">
        <v>31</v>
      </c>
      <c r="G21" s="11" t="s">
        <v>32</v>
      </c>
      <c r="H21" s="15" t="n">
        <v>680</v>
      </c>
      <c r="I21" s="16" t="n">
        <f aca="false">D21/H21</f>
        <v>1.16566676470588</v>
      </c>
    </row>
    <row r="22" customFormat="false" ht="15" hidden="false" customHeight="false" outlineLevel="0" collapsed="false">
      <c r="A22" s="11" t="s">
        <v>33</v>
      </c>
      <c r="B22" s="12" t="n">
        <f aca="false">$B$17*$B$6</f>
        <v>634.403</v>
      </c>
      <c r="C22" s="13" t="n">
        <f aca="false">$B$17</f>
        <v>539</v>
      </c>
      <c r="D22" s="12" t="n">
        <f aca="false">$B$17*$B$9</f>
        <v>808.5</v>
      </c>
      <c r="E22" s="14" t="n">
        <f aca="false">B22+D22</f>
        <v>1442.903</v>
      </c>
      <c r="F22" s="11" t="s">
        <v>34</v>
      </c>
      <c r="G22" s="11" t="s">
        <v>35</v>
      </c>
      <c r="H22" s="15" t="n">
        <v>480</v>
      </c>
      <c r="I22" s="16" t="n">
        <f aca="false">D22/H22</f>
        <v>1.684375</v>
      </c>
    </row>
    <row r="23" customFormat="false" ht="15" hidden="false" customHeight="false" outlineLevel="0" collapsed="false">
      <c r="A23" s="11" t="s">
        <v>36</v>
      </c>
      <c r="B23" s="12" t="n">
        <f aca="false">$B$17*$B$6</f>
        <v>634.403</v>
      </c>
      <c r="C23" s="13" t="n">
        <f aca="false">$B$17</f>
        <v>539</v>
      </c>
      <c r="D23" s="12" t="n">
        <f aca="false">$B$17*$B$10</f>
        <v>841.6485</v>
      </c>
      <c r="E23" s="14" t="n">
        <f aca="false">B23+D23</f>
        <v>1476.0515</v>
      </c>
      <c r="F23" s="11" t="s">
        <v>37</v>
      </c>
      <c r="G23" s="11" t="s">
        <v>38</v>
      </c>
      <c r="H23" s="15" t="n">
        <v>440</v>
      </c>
      <c r="I23" s="16" t="n">
        <f aca="false">D23/H23</f>
        <v>1.9128375</v>
      </c>
    </row>
    <row r="24" customFormat="false" ht="15" hidden="false" customHeight="false" outlineLevel="0" collapsed="false">
      <c r="A24" s="17" t="s">
        <v>39</v>
      </c>
      <c r="B24" s="18" t="n">
        <f aca="false">SUM(B20:B23)</f>
        <v>2537.612</v>
      </c>
      <c r="C24" s="19"/>
      <c r="D24" s="18" t="n">
        <f aca="false">SUM(D20:D23)</f>
        <v>2868.8275</v>
      </c>
      <c r="E24" s="18" t="n">
        <f aca="false">SUM(E20:E23)</f>
        <v>5406.4395</v>
      </c>
      <c r="F24" s="19"/>
      <c r="G24" s="19"/>
      <c r="H24" s="19"/>
      <c r="I24" s="20" t="n">
        <f aca="false">SUM(I20:I23)</f>
        <v>5.65043259803922</v>
      </c>
    </row>
    <row r="26" customFormat="false" ht="15" hidden="false" customHeight="false" outlineLevel="0" collapsed="false">
      <c r="A26" s="7" t="s">
        <v>40</v>
      </c>
      <c r="B26" s="7"/>
      <c r="C26" s="7"/>
      <c r="D26" s="7"/>
      <c r="E26" s="7"/>
      <c r="F26" s="7"/>
      <c r="G26" s="7"/>
      <c r="H26" s="7"/>
      <c r="I26" s="7"/>
    </row>
    <row r="27" customFormat="false" ht="15" hidden="false" customHeight="false" outlineLevel="0" collapsed="false">
      <c r="A27" s="4" t="s">
        <v>14</v>
      </c>
      <c r="B27" s="8" t="n">
        <v>423</v>
      </c>
      <c r="C27" s="4" t="s">
        <v>15</v>
      </c>
    </row>
    <row r="28" customFormat="false" ht="15" hidden="false" customHeight="false" outlineLevel="0" collapsed="false">
      <c r="A28" s="4" t="s">
        <v>16</v>
      </c>
      <c r="B28" s="8" t="n">
        <v>92</v>
      </c>
      <c r="C28" s="4" t="s">
        <v>15</v>
      </c>
    </row>
    <row r="29" customFormat="false" ht="15" hidden="false" customHeight="false" outlineLevel="0" collapsed="false">
      <c r="A29" s="3" t="s">
        <v>17</v>
      </c>
      <c r="B29" s="9" t="n">
        <f aca="false">$B$27-$B$28</f>
        <v>331</v>
      </c>
    </row>
    <row r="31" customFormat="false" ht="26.85" hidden="false" customHeight="false" outlineLevel="0" collapsed="false">
      <c r="A31" s="10" t="s">
        <v>18</v>
      </c>
      <c r="B31" s="10" t="s">
        <v>19</v>
      </c>
      <c r="C31" s="10" t="s">
        <v>20</v>
      </c>
      <c r="D31" s="10" t="s">
        <v>21</v>
      </c>
      <c r="E31" s="10" t="s">
        <v>22</v>
      </c>
      <c r="F31" s="10" t="s">
        <v>23</v>
      </c>
      <c r="G31" s="10" t="s">
        <v>24</v>
      </c>
      <c r="H31" s="10" t="s">
        <v>25</v>
      </c>
      <c r="I31" s="10" t="s">
        <v>26</v>
      </c>
    </row>
    <row r="32" customFormat="false" ht="15" hidden="false" customHeight="false" outlineLevel="0" collapsed="false">
      <c r="A32" s="11" t="s">
        <v>41</v>
      </c>
      <c r="B32" s="12" t="n">
        <f aca="false">$B$29*$B$6</f>
        <v>389.587</v>
      </c>
      <c r="C32" s="13" t="n">
        <f aca="false">$B$29</f>
        <v>331</v>
      </c>
      <c r="D32" s="12" t="n">
        <f aca="false">$B$29*$B$7</f>
        <v>261.6224</v>
      </c>
      <c r="E32" s="14" t="n">
        <f aca="false">B32+D32</f>
        <v>651.2094</v>
      </c>
      <c r="F32" s="11" t="s">
        <v>28</v>
      </c>
      <c r="G32" s="11" t="s">
        <v>29</v>
      </c>
      <c r="H32" s="15" t="n">
        <v>480</v>
      </c>
      <c r="I32" s="16" t="n">
        <f aca="false">D32/H32</f>
        <v>0.545046666666667</v>
      </c>
    </row>
    <row r="33" customFormat="false" ht="15" hidden="false" customHeight="false" outlineLevel="0" collapsed="false">
      <c r="A33" s="11" t="s">
        <v>42</v>
      </c>
      <c r="B33" s="12" t="n">
        <f aca="false">$B$29*$B$6</f>
        <v>389.587</v>
      </c>
      <c r="C33" s="13" t="n">
        <f aca="false">$B$29</f>
        <v>331</v>
      </c>
      <c r="D33" s="12" t="n">
        <f aca="false">$B$29*$B$8</f>
        <v>486.7686</v>
      </c>
      <c r="E33" s="14" t="n">
        <f aca="false">B33+D33</f>
        <v>876.3556</v>
      </c>
      <c r="F33" s="11" t="s">
        <v>31</v>
      </c>
      <c r="G33" s="11" t="s">
        <v>32</v>
      </c>
      <c r="H33" s="15" t="n">
        <v>680</v>
      </c>
      <c r="I33" s="16" t="n">
        <f aca="false">D33/H33</f>
        <v>0.715836176470588</v>
      </c>
    </row>
    <row r="34" customFormat="false" ht="15" hidden="false" customHeight="false" outlineLevel="0" collapsed="false">
      <c r="A34" s="11" t="s">
        <v>43</v>
      </c>
      <c r="B34" s="12" t="n">
        <f aca="false">$B$29*$B$6</f>
        <v>389.587</v>
      </c>
      <c r="C34" s="13" t="n">
        <f aca="false">$B$29</f>
        <v>331</v>
      </c>
      <c r="D34" s="12" t="n">
        <f aca="false">$B$29*$B$9</f>
        <v>496.5</v>
      </c>
      <c r="E34" s="14" t="n">
        <f aca="false">B34+D34</f>
        <v>886.087</v>
      </c>
      <c r="F34" s="11" t="s">
        <v>34</v>
      </c>
      <c r="G34" s="11" t="s">
        <v>35</v>
      </c>
      <c r="H34" s="15" t="n">
        <v>480</v>
      </c>
      <c r="I34" s="16" t="n">
        <f aca="false">D34/H34</f>
        <v>1.034375</v>
      </c>
    </row>
    <row r="35" customFormat="false" ht="15" hidden="false" customHeight="false" outlineLevel="0" collapsed="false">
      <c r="A35" s="11" t="s">
        <v>44</v>
      </c>
      <c r="B35" s="12" t="n">
        <f aca="false">$B$29*$B$6</f>
        <v>389.587</v>
      </c>
      <c r="C35" s="13" t="n">
        <f aca="false">$B$29</f>
        <v>331</v>
      </c>
      <c r="D35" s="12" t="n">
        <f aca="false">$B$29*$B$10</f>
        <v>516.8565</v>
      </c>
      <c r="E35" s="14" t="n">
        <f aca="false">B35+D35</f>
        <v>906.4435</v>
      </c>
      <c r="F35" s="11" t="s">
        <v>37</v>
      </c>
      <c r="G35" s="11" t="s">
        <v>38</v>
      </c>
      <c r="H35" s="15" t="n">
        <v>440</v>
      </c>
      <c r="I35" s="16" t="n">
        <f aca="false">D35/H35</f>
        <v>1.17467386363636</v>
      </c>
    </row>
    <row r="36" customFormat="false" ht="15" hidden="false" customHeight="false" outlineLevel="0" collapsed="false">
      <c r="A36" s="17" t="s">
        <v>45</v>
      </c>
      <c r="B36" s="18" t="n">
        <f aca="false">SUM(B32:B35)</f>
        <v>1558.348</v>
      </c>
      <c r="C36" s="19"/>
      <c r="D36" s="18" t="n">
        <f aca="false">SUM(D32:D35)</f>
        <v>1761.7475</v>
      </c>
      <c r="E36" s="18" t="n">
        <f aca="false">SUM(E32:E35)</f>
        <v>3320.0955</v>
      </c>
      <c r="F36" s="19"/>
      <c r="G36" s="19"/>
      <c r="H36" s="19"/>
      <c r="I36" s="20" t="n">
        <f aca="false">SUM(I32:I35)</f>
        <v>3.46993170677362</v>
      </c>
    </row>
    <row r="38" customFormat="false" ht="15" hidden="false" customHeight="false" outlineLevel="0" collapsed="false">
      <c r="A38" s="21" t="s">
        <v>46</v>
      </c>
      <c r="B38" s="21"/>
      <c r="C38" s="21"/>
      <c r="D38" s="21"/>
      <c r="E38" s="22" t="n">
        <f aca="false">E24+E36</f>
        <v>8726.535</v>
      </c>
      <c r="F38" s="23"/>
      <c r="G38" s="23"/>
      <c r="H38" s="23"/>
      <c r="I38" s="23"/>
    </row>
  </sheetData>
  <mergeCells count="5">
    <mergeCell ref="A1:I1"/>
    <mergeCell ref="A12:I12"/>
    <mergeCell ref="A14:I14"/>
    <mergeCell ref="A26:I26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2026-09-30T11:02:42Z</dcterms:created>
  <dc:creator>openpyxl</dc:creator>
  <dc:description/>
  <dc:language>en-US</dc:language>
  <cp:lastModifiedBy/>
  <dcterms:modified xsi:type="dcterms:W3CDTF">2026-09-30T11:02:42Z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