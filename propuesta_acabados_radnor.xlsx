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uesta Acabados" sheetId="1" state="visible" r:id="rId3"/>
    <sheet name="Ley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<sst xmlns="http://schemas.openxmlformats.org/spreadsheetml/2006/main" count="88" uniqueCount="63">
  <si>
    <t xml:space="preserve">PROPUESTA DE PRECIOS — ACABADOS INTERIORES/EXTERIORES</t>
  </si>
  <si>
    <t xml:space="preserve">Radnor Residence — Licitación a GC · Preparado por Vertikall Haus · Precios validados contra mercado Miami/FL 2026</t>
  </si>
  <si>
    <t xml:space="preserve">Partida</t>
  </si>
  <si>
    <t xml:space="preserve">Cantidad</t>
  </si>
  <si>
    <t xml:space="preserve">Unidad</t>
  </si>
  <si>
    <t xml:space="preserve">P.U. Material</t>
  </si>
  <si>
    <t xml:space="preserve">Materiales ($)</t>
  </si>
  <si>
    <t xml:space="preserve">P.U. Mano de Obra</t>
  </si>
  <si>
    <t xml:space="preserve">Mano de Obra ($)</t>
  </si>
  <si>
    <t xml:space="preserve">OH+P %</t>
  </si>
  <si>
    <t xml:space="preserve">OH+P ($)</t>
  </si>
  <si>
    <t xml:space="preserve">TOTAL Escenario A
(todo incluido) ($)</t>
  </si>
  <si>
    <t xml:space="preserve">¿Material nuevo
asumido? (S/N)</t>
  </si>
  <si>
    <t xml:space="preserve">TOTAL Escenario B
(acabado por dueño) ($)</t>
  </si>
  <si>
    <t xml:space="preserve">Notas / Supuesto</t>
  </si>
  <si>
    <t xml:space="preserve">1. Tabiquería Drywall Interior (armazón + emplanchado + enmasillado)</t>
  </si>
  <si>
    <t xml:space="preserve">SF</t>
  </si>
  <si>
    <t xml:space="preserve">N</t>
  </si>
  <si>
    <t xml:space="preserve">Base=SF de plancha (armazón cubre 3,675.5 SF de muro, doble cara). M.O. y material sin cambio vs. estimado original; solo se sube OH+P de 20% a 22%.</t>
  </si>
  <si>
    <t xml:space="preserve">2. Revestimiento CMU con Drywall</t>
  </si>
  <si>
    <t xml:space="preserve">Sin cambio de M.O./material vs. original; OH+P subido a 22%.</t>
  </si>
  <si>
    <t xml:space="preserve">3. Insulación Acústica</t>
  </si>
  <si>
    <t xml:space="preserve">Sin cambio vs. original; OH+P subido a 22%.</t>
  </si>
  <si>
    <t xml:space="preserve">4. Falso Techo</t>
  </si>
  <si>
    <t xml:space="preserve">5. Pisos — Hormigón Garage</t>
  </si>
  <si>
    <t xml:space="preserve">Fuera de alcance de esta propuesta (losa de garage = obra base), igual que el estimado original.</t>
  </si>
  <si>
    <t xml:space="preserve">5. Pisos — Porcelanato Interior</t>
  </si>
  <si>
    <t xml:space="preserve">S</t>
  </si>
  <si>
    <t xml:space="preserve">El original no traía material de porcelanato ($0). Se asume porcelanato estándar $3.50/SF -- AJUSTAR si el dueño ya compró el material.</t>
  </si>
  <si>
    <t xml:space="preserve">5. Pisos — Exterior Terrace</t>
  </si>
  <si>
    <t xml:space="preserve">El original no traía material ($0). Se asume porcelanato rectificado apto exterior $4.50/SF -- AJUSTAR si el dueño lo suministra.</t>
  </si>
  <si>
    <t xml:space="preserve">5. Pisos — Pool Deck</t>
  </si>
  <si>
    <t xml:space="preserve">El original no traía material ($0). Se asume porcelanato antideslizante certificado para pool deck $5.50/SF -- AJUSTAR si el dueño lo suministra.</t>
  </si>
  <si>
    <t xml:space="preserve">6. Enchape Vertical</t>
  </si>
  <si>
    <t xml:space="preserve">El original no traía material ($0). Se asume tile de muro $6.00/SF -- AJUSTAR si el dueño lo suministra.</t>
  </si>
  <si>
    <t xml:space="preserve">7. Estuco (3 capas)</t>
  </si>
  <si>
    <t xml:space="preserve">Original ($6.90/SF total) estaba por debajo del rango de mercado Miami ($7-12/SF). Ajustado a ~$7.50/SF total, todavía competitivo.</t>
  </si>
  <si>
    <t xml:space="preserve">8. Pintura Exterior</t>
  </si>
  <si>
    <t xml:space="preserve">Original ($3.29/SF) estaba en el piso del rango Miami ($3.50-9/SF). Ajustado a ~$3.75/SF total.</t>
  </si>
  <si>
    <t xml:space="preserve">9. Pintura Interior</t>
  </si>
  <si>
    <t xml:space="preserve">Original ($2.87/SF) estaba en el piso del rango Miami ($2.75-5.25/SF). Ajustado a ~$3.25/SF total.</t>
  </si>
  <si>
    <t xml:space="preserve">10. Rodapié</t>
  </si>
  <si>
    <t xml:space="preserve">LF</t>
  </si>
  <si>
    <t xml:space="preserve">11. Instalación de Puertas (incl. marco y herrajes)</t>
  </si>
  <si>
    <t xml:space="preserve">U</t>
  </si>
  <si>
    <t xml:space="preserve">El original no traía material de puerta/marco/herrajes ($0). Se asume $350/unidad grado medio -- AJUSTAR si el dueño suministra las puertas.</t>
  </si>
  <si>
    <t xml:space="preserve">SUBTOTAL</t>
  </si>
  <si>
    <t xml:space="preserve">COMPARATIVO CON EL ESTIMADO ORIGINAL</t>
  </si>
  <si>
    <t xml:space="preserve">Estimado original (imagen del usuario)</t>
  </si>
  <si>
    <t xml:space="preserve">Materiales $0 en pisos/enchape/puertas; OH+P=20%; estuco y pinturas por debajo de mercado Miami.</t>
  </si>
  <si>
    <t xml:space="preserve">Propuesta A — Escenario A (todo incluido, tú pones el material de acabados)</t>
  </si>
  <si>
    <t xml:space="preserve">Propuesta A — Escenario B (dueño suministra tile/porcelanato/puertas)</t>
  </si>
  <si>
    <t xml:space="preserve">Con GC arriba (referencia, no forma parte de tu precio):</t>
  </si>
  <si>
    <t xml:space="preserve">  Precio al dueño si el GC agrega 15% sobre Escenario A</t>
  </si>
  <si>
    <t xml:space="preserve">  Precio al dueño si el GC agrega 25% sobre Escenario A</t>
  </si>
  <si>
    <t xml:space="preserve">Cómo usar esta hoja</t>
  </si>
  <si>
    <t xml:space="preserve">• Celdas en AZUL = valores que puedes editar (cantidades, precios unitarios, % de OH+P, la bandera S/N).</t>
  </si>
  <si>
    <t xml:space="preserve">• Celdas en NEGRO = fórmulas, se recalculan solas -- no las edites directamente.</t>
  </si>
  <si>
    <t xml:space="preserve">• Columna 'TOTAL Escenario A' = tu precio si TÚ incluyes el material de piso/enchape/puertas (lo más seguro para no quedarte corto).</t>
  </si>
  <si>
    <t xml:space="preserve">• Columna 'TOTAL Escenario B' = tu precio si el DUEÑO/GC suministra esos materiales por separado (debes dejarlo por escrito como exclusión en tu propuesta).</t>
  </si>
  <si>
    <t xml:space="preserve">• Filas marcadas con 'S' en '¿Material nuevo asumido?' son las que el estimado original traía en $0 de material -- ahí está el mayor riesgo de quedarte corto si no lo aclaras.</t>
  </si>
  <si>
    <t xml:space="preserve">• Los precios unitarios de estuco y pinturas se subieron ligeramente para no quedar por debajo del piso del mercado de Miami 2026 (fuentes citadas en la conversación).</t>
  </si>
  <si>
    <t xml:space="preserve">• El OH+P se subió de 20% a 22% en todos los renglones como colchón adicional -- sigue siendo competitivo si arriba hay un GC agregando su propio 15-25%.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</si>
</sst>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7" min="5" style="0" width="14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30" hidden="false" customHeight="true" outlineLevel="0" collapsed="false">
      <c r="A5" s="4" t="s">
        <v>15</v>
      </c>
      <c r="B5" s="5" t="n">
        <v>7351</v>
      </c>
      <c r="C5" s="4" t="s">
        <v>16</v>
      </c>
      <c r="D5" s="6" t="n">
        <v>1.6324</v>
      </c>
      <c r="E5" s="7" t="n">
        <f aca="false">B5*D5</f>
        <v>11999.7724</v>
      </c>
      <c r="F5" s="6" t="n">
        <v>3.1288</v>
      </c>
      <c r="G5" s="7" t="n">
        <f aca="false">B5*F5</f>
        <v>22999.8088</v>
      </c>
      <c r="H5" s="8" t="n">
        <v>0.22</v>
      </c>
      <c r="I5" s="7" t="n">
        <f aca="false">(E5+G5)*H5</f>
        <v>7699.907864</v>
      </c>
      <c r="J5" s="7" t="n">
        <f aca="false">E5+G5+I5</f>
        <v>42699.489064</v>
      </c>
      <c r="K5" s="5" t="s">
        <v>17</v>
      </c>
      <c r="L5" s="7" t="n">
        <f aca="false">IF(K5="S",G5*(1+H5),J5)</f>
        <v>42699.489064</v>
      </c>
      <c r="M5" s="9" t="s">
        <v>18</v>
      </c>
    </row>
    <row r="6" customFormat="false" ht="30" hidden="false" customHeight="true" outlineLevel="0" collapsed="false">
      <c r="A6" s="4" t="s">
        <v>19</v>
      </c>
      <c r="B6" s="5" t="n">
        <v>4733.15</v>
      </c>
      <c r="C6" s="4" t="s">
        <v>16</v>
      </c>
      <c r="D6" s="6" t="n">
        <v>1.7958</v>
      </c>
      <c r="E6" s="7" t="n">
        <f aca="false">B6*D6</f>
        <v>8499.79077</v>
      </c>
      <c r="F6" s="6" t="n">
        <v>3.1691</v>
      </c>
      <c r="G6" s="7" t="n">
        <f aca="false">B6*F6</f>
        <v>14999.825665</v>
      </c>
      <c r="H6" s="8" t="n">
        <v>0.22</v>
      </c>
      <c r="I6" s="7" t="n">
        <f aca="false">(E6+G6)*H6</f>
        <v>5169.9156157</v>
      </c>
      <c r="J6" s="7" t="n">
        <f aca="false">E6+G6+I6</f>
        <v>28669.5320507</v>
      </c>
      <c r="K6" s="5" t="s">
        <v>17</v>
      </c>
      <c r="L6" s="7" t="n">
        <f aca="false">IF(K6="S",G6*(1+H6),J6)</f>
        <v>28669.5320507</v>
      </c>
      <c r="M6" s="9" t="s">
        <v>20</v>
      </c>
    </row>
    <row r="7" customFormat="false" ht="30" hidden="false" customHeight="true" outlineLevel="0" collapsed="false">
      <c r="A7" s="4" t="s">
        <v>21</v>
      </c>
      <c r="B7" s="5" t="n">
        <v>4733.15</v>
      </c>
      <c r="C7" s="4" t="s">
        <v>16</v>
      </c>
      <c r="D7" s="6" t="n">
        <v>1.2465</v>
      </c>
      <c r="E7" s="7" t="n">
        <f aca="false">B7*D7</f>
        <v>5899.871475</v>
      </c>
      <c r="F7" s="6" t="n">
        <v>0.5916</v>
      </c>
      <c r="G7" s="7" t="n">
        <f aca="false">B7*F7</f>
        <v>2800.13154</v>
      </c>
      <c r="H7" s="8" t="n">
        <v>0.22</v>
      </c>
      <c r="I7" s="7" t="n">
        <f aca="false">(E7+G7)*H7</f>
        <v>1914.0006633</v>
      </c>
      <c r="J7" s="7" t="n">
        <f aca="false">E7+G7+I7</f>
        <v>10614.0036783</v>
      </c>
      <c r="K7" s="5" t="s">
        <v>17</v>
      </c>
      <c r="L7" s="7" t="n">
        <f aca="false">IF(K7="S",G7*(1+H7),J7)</f>
        <v>10614.0036783</v>
      </c>
      <c r="M7" s="9" t="s">
        <v>22</v>
      </c>
    </row>
    <row r="8" customFormat="false" ht="30" hidden="false" customHeight="true" outlineLevel="0" collapsed="false">
      <c r="A8" s="4" t="s">
        <v>23</v>
      </c>
      <c r="B8" s="5" t="n">
        <v>4600</v>
      </c>
      <c r="C8" s="4" t="s">
        <v>16</v>
      </c>
      <c r="D8" s="6" t="n">
        <v>2.2826</v>
      </c>
      <c r="E8" s="7" t="n">
        <f aca="false">B8*D8</f>
        <v>10499.96</v>
      </c>
      <c r="F8" s="6" t="n">
        <v>3.8043</v>
      </c>
      <c r="G8" s="7" t="n">
        <f aca="false">B8*F8</f>
        <v>17499.78</v>
      </c>
      <c r="H8" s="8" t="n">
        <v>0.22</v>
      </c>
      <c r="I8" s="7" t="n">
        <f aca="false">(E8+G8)*H8</f>
        <v>6159.9428</v>
      </c>
      <c r="J8" s="7" t="n">
        <f aca="false">E8+G8+I8</f>
        <v>34159.6828</v>
      </c>
      <c r="K8" s="5" t="s">
        <v>17</v>
      </c>
      <c r="L8" s="7" t="n">
        <f aca="false">IF(K8="S",G8*(1+H8),J8)</f>
        <v>34159.6828</v>
      </c>
      <c r="M8" s="9" t="s">
        <v>22</v>
      </c>
    </row>
    <row r="9" customFormat="false" ht="30" hidden="false" customHeight="true" outlineLevel="0" collapsed="false">
      <c r="A9" s="4" t="s">
        <v>24</v>
      </c>
      <c r="B9" s="5" t="n">
        <v>397</v>
      </c>
      <c r="C9" s="4" t="s">
        <v>16</v>
      </c>
      <c r="D9" s="6" t="n">
        <v>0</v>
      </c>
      <c r="E9" s="7" t="n">
        <f aca="false">B9*D9</f>
        <v>0</v>
      </c>
      <c r="F9" s="6" t="n">
        <v>0</v>
      </c>
      <c r="G9" s="7" t="n">
        <f aca="false">B9*F9</f>
        <v>0</v>
      </c>
      <c r="H9" s="8" t="n">
        <v>0</v>
      </c>
      <c r="I9" s="7" t="n">
        <f aca="false">(E9+G9)*H9</f>
        <v>0</v>
      </c>
      <c r="J9" s="7" t="n">
        <f aca="false">E9+G9+I9</f>
        <v>0</v>
      </c>
      <c r="K9" s="5" t="s">
        <v>17</v>
      </c>
      <c r="L9" s="7" t="n">
        <f aca="false">IF(K9="S",G9*(1+H9),J9)</f>
        <v>0</v>
      </c>
      <c r="M9" s="9" t="s">
        <v>25</v>
      </c>
    </row>
    <row r="10" customFormat="false" ht="30" hidden="false" customHeight="true" outlineLevel="0" collapsed="false">
      <c r="A10" s="4" t="s">
        <v>26</v>
      </c>
      <c r="B10" s="5" t="n">
        <v>3300</v>
      </c>
      <c r="C10" s="4" t="s">
        <v>16</v>
      </c>
      <c r="D10" s="6" t="n">
        <v>3.5</v>
      </c>
      <c r="E10" s="7" t="n">
        <f aca="false">B10*D10</f>
        <v>11550</v>
      </c>
      <c r="F10" s="6" t="n">
        <v>6</v>
      </c>
      <c r="G10" s="7" t="n">
        <f aca="false">B10*F10</f>
        <v>19800</v>
      </c>
      <c r="H10" s="8" t="n">
        <v>0.22</v>
      </c>
      <c r="I10" s="7" t="n">
        <f aca="false">(E10+G10)*H10</f>
        <v>6897</v>
      </c>
      <c r="J10" s="7" t="n">
        <f aca="false">E10+G10+I10</f>
        <v>38247</v>
      </c>
      <c r="K10" s="10" t="s">
        <v>27</v>
      </c>
      <c r="L10" s="7" t="n">
        <f aca="false">IF(K10="S",G10*(1+H10),J10)</f>
        <v>24156</v>
      </c>
      <c r="M10" s="9" t="s">
        <v>28</v>
      </c>
    </row>
    <row r="11" customFormat="false" ht="30" hidden="false" customHeight="true" outlineLevel="0" collapsed="false">
      <c r="A11" s="4" t="s">
        <v>29</v>
      </c>
      <c r="B11" s="5" t="n">
        <v>2750</v>
      </c>
      <c r="C11" s="4" t="s">
        <v>16</v>
      </c>
      <c r="D11" s="6" t="n">
        <v>4.5</v>
      </c>
      <c r="E11" s="7" t="n">
        <f aca="false">B11*D11</f>
        <v>12375</v>
      </c>
      <c r="F11" s="6" t="n">
        <v>7</v>
      </c>
      <c r="G11" s="7" t="n">
        <f aca="false">B11*F11</f>
        <v>19250</v>
      </c>
      <c r="H11" s="8" t="n">
        <v>0.22</v>
      </c>
      <c r="I11" s="7" t="n">
        <f aca="false">(E11+G11)*H11</f>
        <v>6957.5</v>
      </c>
      <c r="J11" s="7" t="n">
        <f aca="false">E11+G11+I11</f>
        <v>38582.5</v>
      </c>
      <c r="K11" s="10" t="s">
        <v>27</v>
      </c>
      <c r="L11" s="7" t="n">
        <f aca="false">IF(K11="S",G11*(1+H11),J11)</f>
        <v>23485</v>
      </c>
      <c r="M11" s="9" t="s">
        <v>30</v>
      </c>
    </row>
    <row r="12" customFormat="false" ht="30" hidden="false" customHeight="true" outlineLevel="0" collapsed="false">
      <c r="A12" s="4" t="s">
        <v>31</v>
      </c>
      <c r="B12" s="5" t="n">
        <v>1081</v>
      </c>
      <c r="C12" s="4" t="s">
        <v>16</v>
      </c>
      <c r="D12" s="6" t="n">
        <v>5.5</v>
      </c>
      <c r="E12" s="7" t="n">
        <f aca="false">B12*D12</f>
        <v>5945.5</v>
      </c>
      <c r="F12" s="6" t="n">
        <v>8.0019</v>
      </c>
      <c r="G12" s="7" t="n">
        <f aca="false">B12*F12</f>
        <v>8650.0539</v>
      </c>
      <c r="H12" s="8" t="n">
        <v>0.22</v>
      </c>
      <c r="I12" s="7" t="n">
        <f aca="false">(E12+G12)*H12</f>
        <v>3211.021858</v>
      </c>
      <c r="J12" s="7" t="n">
        <f aca="false">E12+G12+I12</f>
        <v>17806.575758</v>
      </c>
      <c r="K12" s="10" t="s">
        <v>27</v>
      </c>
      <c r="L12" s="7" t="n">
        <f aca="false">IF(K12="S",G12*(1+H12),J12)</f>
        <v>10553.065758</v>
      </c>
      <c r="M12" s="9" t="s">
        <v>32</v>
      </c>
    </row>
    <row r="13" customFormat="false" ht="30" hidden="false" customHeight="true" outlineLevel="0" collapsed="false">
      <c r="A13" s="4" t="s">
        <v>33</v>
      </c>
      <c r="B13" s="5" t="n">
        <v>554</v>
      </c>
      <c r="C13" s="4" t="s">
        <v>16</v>
      </c>
      <c r="D13" s="6" t="n">
        <v>6</v>
      </c>
      <c r="E13" s="7" t="n">
        <f aca="false">B13*D13</f>
        <v>3324</v>
      </c>
      <c r="F13" s="6" t="n">
        <v>10</v>
      </c>
      <c r="G13" s="7" t="n">
        <f aca="false">B13*F13</f>
        <v>5540</v>
      </c>
      <c r="H13" s="8" t="n">
        <v>0.22</v>
      </c>
      <c r="I13" s="7" t="n">
        <f aca="false">(E13+G13)*H13</f>
        <v>1950.08</v>
      </c>
      <c r="J13" s="7" t="n">
        <f aca="false">E13+G13+I13</f>
        <v>10814.08</v>
      </c>
      <c r="K13" s="10" t="s">
        <v>27</v>
      </c>
      <c r="L13" s="7" t="n">
        <f aca="false">IF(K13="S",G13*(1+H13),J13)</f>
        <v>6758.8</v>
      </c>
      <c r="M13" s="9" t="s">
        <v>34</v>
      </c>
    </row>
    <row r="14" customFormat="false" ht="30" hidden="false" customHeight="true" outlineLevel="0" collapsed="false">
      <c r="A14" s="4" t="s">
        <v>35</v>
      </c>
      <c r="B14" s="5" t="n">
        <v>4200</v>
      </c>
      <c r="C14" s="4" t="s">
        <v>16</v>
      </c>
      <c r="D14" s="6" t="n">
        <v>1.869</v>
      </c>
      <c r="E14" s="7" t="n">
        <f aca="false">B14*D14</f>
        <v>7849.8</v>
      </c>
      <c r="F14" s="6" t="n">
        <v>4.2786</v>
      </c>
      <c r="G14" s="7" t="n">
        <f aca="false">B14*F14</f>
        <v>17970.12</v>
      </c>
      <c r="H14" s="8" t="n">
        <v>0.22</v>
      </c>
      <c r="I14" s="7" t="n">
        <f aca="false">(E14+G14)*H14</f>
        <v>5680.3824</v>
      </c>
      <c r="J14" s="7" t="n">
        <f aca="false">E14+G14+I14</f>
        <v>31500.3024</v>
      </c>
      <c r="K14" s="5" t="s">
        <v>17</v>
      </c>
      <c r="L14" s="7" t="n">
        <f aca="false">IF(K14="S",G14*(1+H14),J14)</f>
        <v>31500.3024</v>
      </c>
      <c r="M14" s="9" t="s">
        <v>36</v>
      </c>
    </row>
    <row r="15" customFormat="false" ht="30" hidden="false" customHeight="true" outlineLevel="0" collapsed="false">
      <c r="A15" s="4" t="s">
        <v>37</v>
      </c>
      <c r="B15" s="5" t="n">
        <v>4200</v>
      </c>
      <c r="C15" s="4" t="s">
        <v>16</v>
      </c>
      <c r="D15" s="6" t="n">
        <v>1.2024</v>
      </c>
      <c r="E15" s="7" t="n">
        <f aca="false">B15*D15</f>
        <v>5050.08</v>
      </c>
      <c r="F15" s="6" t="n">
        <v>1.8714</v>
      </c>
      <c r="G15" s="7" t="n">
        <f aca="false">B15*F15</f>
        <v>7859.88</v>
      </c>
      <c r="H15" s="8" t="n">
        <v>0.22</v>
      </c>
      <c r="I15" s="7" t="n">
        <f aca="false">(E15+G15)*H15</f>
        <v>2840.1912</v>
      </c>
      <c r="J15" s="7" t="n">
        <f aca="false">E15+G15+I15</f>
        <v>15750.1512</v>
      </c>
      <c r="K15" s="5" t="s">
        <v>17</v>
      </c>
      <c r="L15" s="7" t="n">
        <f aca="false">IF(K15="S",G15*(1+H15),J15)</f>
        <v>15750.1512</v>
      </c>
      <c r="M15" s="9" t="s">
        <v>38</v>
      </c>
    </row>
    <row r="16" customFormat="false" ht="30" hidden="false" customHeight="true" outlineLevel="0" collapsed="false">
      <c r="A16" s="4" t="s">
        <v>39</v>
      </c>
      <c r="B16" s="5" t="n">
        <v>16100</v>
      </c>
      <c r="C16" s="4" t="s">
        <v>16</v>
      </c>
      <c r="D16" s="6" t="n">
        <v>1.0031</v>
      </c>
      <c r="E16" s="7" t="n">
        <f aca="false">B16*D16</f>
        <v>16149.91</v>
      </c>
      <c r="F16" s="6" t="n">
        <v>1.6609</v>
      </c>
      <c r="G16" s="7" t="n">
        <f aca="false">B16*F16</f>
        <v>26740.49</v>
      </c>
      <c r="H16" s="8" t="n">
        <v>0.22</v>
      </c>
      <c r="I16" s="7" t="n">
        <f aca="false">(E16+G16)*H16</f>
        <v>9435.888</v>
      </c>
      <c r="J16" s="7" t="n">
        <f aca="false">E16+G16+I16</f>
        <v>52326.288</v>
      </c>
      <c r="K16" s="5" t="s">
        <v>17</v>
      </c>
      <c r="L16" s="7" t="n">
        <f aca="false">IF(K16="S",G16*(1+H16),J16)</f>
        <v>52326.288</v>
      </c>
      <c r="M16" s="9" t="s">
        <v>40</v>
      </c>
    </row>
    <row r="17" customFormat="false" ht="30" hidden="false" customHeight="true" outlineLevel="0" collapsed="false">
      <c r="A17" s="4" t="s">
        <v>41</v>
      </c>
      <c r="B17" s="5" t="n">
        <v>1100</v>
      </c>
      <c r="C17" s="4" t="s">
        <v>42</v>
      </c>
      <c r="D17" s="6" t="n">
        <v>2.7273</v>
      </c>
      <c r="E17" s="7" t="n">
        <f aca="false">B17*D17</f>
        <v>3000.03</v>
      </c>
      <c r="F17" s="6" t="n">
        <v>3</v>
      </c>
      <c r="G17" s="7" t="n">
        <f aca="false">B17*F17</f>
        <v>3300</v>
      </c>
      <c r="H17" s="8" t="n">
        <v>0.22</v>
      </c>
      <c r="I17" s="7" t="n">
        <f aca="false">(E17+G17)*H17</f>
        <v>1386.0066</v>
      </c>
      <c r="J17" s="7" t="n">
        <f aca="false">E17+G17+I17</f>
        <v>7686.0366</v>
      </c>
      <c r="K17" s="5" t="s">
        <v>17</v>
      </c>
      <c r="L17" s="7" t="n">
        <f aca="false">IF(K17="S",G17*(1+H17),J17)</f>
        <v>7686.0366</v>
      </c>
      <c r="M17" s="9" t="s">
        <v>22</v>
      </c>
    </row>
    <row r="18" customFormat="false" ht="30" hidden="false" customHeight="true" outlineLevel="0" collapsed="false">
      <c r="A18" s="4" t="s">
        <v>43</v>
      </c>
      <c r="B18" s="5" t="n">
        <v>18</v>
      </c>
      <c r="C18" s="4" t="s">
        <v>44</v>
      </c>
      <c r="D18" s="6" t="n">
        <v>350</v>
      </c>
      <c r="E18" s="7" t="n">
        <f aca="false">B18*D18</f>
        <v>6300</v>
      </c>
      <c r="F18" s="6" t="n">
        <v>400</v>
      </c>
      <c r="G18" s="7" t="n">
        <f aca="false">B18*F18</f>
        <v>7200</v>
      </c>
      <c r="H18" s="8" t="n">
        <v>0.22</v>
      </c>
      <c r="I18" s="7" t="n">
        <f aca="false">(E18+G18)*H18</f>
        <v>2970</v>
      </c>
      <c r="J18" s="7" t="n">
        <f aca="false">E18+G18+I18</f>
        <v>16470</v>
      </c>
      <c r="K18" s="10" t="s">
        <v>27</v>
      </c>
      <c r="L18" s="7" t="n">
        <f aca="false">IF(K18="S",G18*(1+H18),J18)</f>
        <v>8784</v>
      </c>
      <c r="M18" s="9" t="s">
        <v>45</v>
      </c>
    </row>
    <row r="19" customFormat="false" ht="15" hidden="false" customHeight="false" outlineLevel="0" collapsed="false">
      <c r="A19" s="11" t="s">
        <v>46</v>
      </c>
      <c r="B19" s="12"/>
      <c r="C19" s="12"/>
      <c r="D19" s="12"/>
      <c r="E19" s="13" t="n">
        <f aca="false">SUM(E5:E18)</f>
        <v>108443.714645</v>
      </c>
      <c r="F19" s="12"/>
      <c r="G19" s="13" t="n">
        <f aca="false">SUM(G5:G18)</f>
        <v>174610.089905</v>
      </c>
      <c r="H19" s="12"/>
      <c r="I19" s="13" t="n">
        <f aca="false">SUM(I5:I18)</f>
        <v>62271.837001</v>
      </c>
      <c r="J19" s="13" t="n">
        <f aca="false">SUM(J5:J18)</f>
        <v>345325.641551</v>
      </c>
      <c r="K19" s="12"/>
      <c r="L19" s="13" t="n">
        <f aca="false">SUM(L5:L18)</f>
        <v>297142.351551</v>
      </c>
      <c r="M19" s="12"/>
    </row>
    <row r="21" customFormat="false" ht="15" hidden="false" customHeight="false" outlineLevel="0" collapsed="false">
      <c r="A21" s="14" t="s">
        <v>47</v>
      </c>
      <c r="B21" s="14"/>
      <c r="C21" s="14"/>
      <c r="D21" s="14"/>
    </row>
    <row r="22" customFormat="false" ht="15" hidden="false" customHeight="false" outlineLevel="0" collapsed="false">
      <c r="A22" s="15" t="s">
        <v>48</v>
      </c>
      <c r="B22" s="16" t="n">
        <v>283308</v>
      </c>
      <c r="C22" s="17" t="s">
        <v>49</v>
      </c>
    </row>
    <row r="23" customFormat="false" ht="15" hidden="false" customHeight="false" outlineLevel="0" collapsed="false">
      <c r="A23" s="18" t="s">
        <v>50</v>
      </c>
      <c r="B23" s="19" t="n">
        <f aca="false">J19</f>
        <v>345325.641551</v>
      </c>
    </row>
    <row r="24" customFormat="false" ht="15" hidden="false" customHeight="false" outlineLevel="0" collapsed="false">
      <c r="A24" s="18" t="s">
        <v>51</v>
      </c>
      <c r="B24" s="19" t="n">
        <f aca="false">L19</f>
        <v>297142.351551</v>
      </c>
    </row>
    <row r="26" customFormat="false" ht="15" hidden="false" customHeight="false" outlineLevel="0" collapsed="false">
      <c r="A26" s="20" t="s">
        <v>52</v>
      </c>
    </row>
    <row r="27" customFormat="false" ht="15" hidden="false" customHeight="false" outlineLevel="0" collapsed="false">
      <c r="A27" s="15" t="s">
        <v>53</v>
      </c>
      <c r="B27" s="21" t="n">
        <f aca="false">J19*1.15</f>
        <v>397124.48778365</v>
      </c>
    </row>
    <row r="28" customFormat="false" ht="15" hidden="false" customHeight="false" outlineLevel="0" collapsed="false">
      <c r="A28" s="15" t="s">
        <v>54</v>
      </c>
      <c r="B28" s="21" t="n">
        <f aca="false">J19*1.25</f>
        <v>431657.05193875</v>
      </c>
    </row>
  </sheetData>
  <mergeCells count="3">
    <mergeCell ref="A1:M1"/>
    <mergeCell ref="A2:M2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2" t="s">
        <v>55</v>
      </c>
    </row>
    <row r="3" customFormat="false" ht="30" hidden="false" customHeight="true" outlineLevel="0" collapsed="false">
      <c r="A3" s="23" t="s">
        <v>56</v>
      </c>
    </row>
    <row r="4" customFormat="false" ht="30" hidden="false" customHeight="true" outlineLevel="0" collapsed="false">
      <c r="A4" s="23" t="s">
        <v>57</v>
      </c>
    </row>
    <row r="5" customFormat="false" ht="30" hidden="false" customHeight="true" outlineLevel="0" collapsed="false">
      <c r="A5" s="23" t="s">
        <v>58</v>
      </c>
    </row>
    <row r="6" customFormat="false" ht="30" hidden="false" customHeight="true" outlineLevel="0" collapsed="false">
      <c r="A6" s="23" t="s">
        <v>59</v>
      </c>
    </row>
    <row r="7" customFormat="false" ht="30" hidden="false" customHeight="true" outlineLevel="0" collapsed="false">
      <c r="A7" s="23" t="s">
        <v>60</v>
      </c>
    </row>
    <row r="8" customFormat="false" ht="30" hidden="false" customHeight="true" outlineLevel="0" collapsed="false">
      <c r="A8" s="23" t="s">
        <v>61</v>
      </c>
    </row>
    <row r="9" customFormat="false" ht="30" hidden="false" customHeight="true" outlineLevel="0" collapsed="false">
      <c r="A9" s="2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2026-09-10T23:48:25Z</dcterms:created>
  <dc:creator>openpyxl</dc:creator>
  <dc:description/>
  <dc:language>en-US</dc:language>
  <cp:lastModifiedBy/>
  <dcterms:modified xsi:type="dcterms:W3CDTF">2026-09-10T23:48:25Z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